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un\Documents\GitHub\BRisk-app-and-validation\BRisk app\"/>
    </mc:Choice>
  </mc:AlternateContent>
  <xr:revisionPtr revIDLastSave="0" documentId="13_ncr:1_{239722B9-2169-415B-80A7-540CC8A9CD87}" xr6:coauthVersionLast="47" xr6:coauthVersionMax="47" xr10:uidLastSave="{00000000-0000-0000-0000-000000000000}"/>
  <bookViews>
    <workbookView xWindow="-110" yWindow="-110" windowWidth="19420" windowHeight="11500" xr2:uid="{4FF8DE4B-F7A4-4D78-9394-C1D7640E696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F31" i="1"/>
  <c r="G31" i="1"/>
  <c r="H31" i="1"/>
  <c r="I31" i="1"/>
  <c r="D31" i="1"/>
  <c r="E30" i="1"/>
  <c r="F30" i="1"/>
  <c r="G30" i="1"/>
  <c r="H30" i="1"/>
  <c r="I30" i="1"/>
  <c r="D30" i="1"/>
</calcChain>
</file>

<file path=xl/sharedStrings.xml><?xml version="1.0" encoding="utf-8"?>
<sst xmlns="http://schemas.openxmlformats.org/spreadsheetml/2006/main" count="87" uniqueCount="64">
  <si>
    <t>Phylogenetic group</t>
  </si>
  <si>
    <r>
      <t>Species</t>
    </r>
    <r>
      <rPr>
        <b/>
        <vertAlign val="superscript"/>
        <sz val="12"/>
        <color rgb="FF000000"/>
        <rFont val="Times New Roman"/>
        <family val="1"/>
      </rPr>
      <t>1</t>
    </r>
  </si>
  <si>
    <t>Isolate</t>
  </si>
  <si>
    <t>Group I</t>
  </si>
  <si>
    <t>PS00134</t>
  </si>
  <si>
    <t>PS00136</t>
  </si>
  <si>
    <t>PS00123</t>
  </si>
  <si>
    <t>Group II</t>
  </si>
  <si>
    <t>PS00161</t>
  </si>
  <si>
    <t>PS00423</t>
  </si>
  <si>
    <t>PS00048</t>
  </si>
  <si>
    <t>PS00906</t>
  </si>
  <si>
    <t>PS00515</t>
  </si>
  <si>
    <t>PS00047</t>
  </si>
  <si>
    <t>PS00452</t>
  </si>
  <si>
    <t>PS00457</t>
  </si>
  <si>
    <t>wiedmannii</t>
  </si>
  <si>
    <t>PS00084</t>
  </si>
  <si>
    <t>Group III</t>
  </si>
  <si>
    <t>anthracis</t>
  </si>
  <si>
    <t>PS00587</t>
  </si>
  <si>
    <t>PS00436</t>
  </si>
  <si>
    <t>PS00485</t>
  </si>
  <si>
    <t>PS00513</t>
  </si>
  <si>
    <t>Group IV</t>
  </si>
  <si>
    <t>PS00087</t>
  </si>
  <si>
    <t>PS00649</t>
  </si>
  <si>
    <t>PS00107</t>
  </si>
  <si>
    <t>PS00512</t>
  </si>
  <si>
    <t>PS00597</t>
  </si>
  <si>
    <t>Group V</t>
  </si>
  <si>
    <t>PS00598</t>
  </si>
  <si>
    <t>PS00565</t>
  </si>
  <si>
    <t>PS00809</t>
  </si>
  <si>
    <t>PS00638</t>
  </si>
  <si>
    <t>Group VII</t>
  </si>
  <si>
    <t>PS00539</t>
  </si>
  <si>
    <t>PS00399</t>
  </si>
  <si>
    <t>Day14</t>
  </si>
  <si>
    <t>3-5 log</t>
  </si>
  <si>
    <t>&gt;5 log</t>
  </si>
  <si>
    <t>Day 21</t>
  </si>
  <si>
    <t>Day 35</t>
  </si>
  <si>
    <r>
      <t xml:space="preserve">pseudomycoides </t>
    </r>
    <r>
      <rPr>
        <sz val="12"/>
        <color rgb="FF000000"/>
        <rFont val="Times New Roman"/>
        <family val="1"/>
      </rPr>
      <t>(1)</t>
    </r>
  </si>
  <si>
    <r>
      <t xml:space="preserve">albus </t>
    </r>
    <r>
      <rPr>
        <sz val="12"/>
        <color rgb="FF000000"/>
        <rFont val="Times New Roman"/>
        <family val="1"/>
      </rPr>
      <t>(1)</t>
    </r>
  </si>
  <si>
    <r>
      <t xml:space="preserve">mobilis </t>
    </r>
    <r>
      <rPr>
        <sz val="12"/>
        <color rgb="FF000000"/>
        <rFont val="Times New Roman"/>
        <family val="1"/>
      </rPr>
      <t>(1)</t>
    </r>
  </si>
  <si>
    <r>
      <t xml:space="preserve">tropicus </t>
    </r>
    <r>
      <rPr>
        <sz val="12"/>
        <color rgb="FF000000"/>
        <rFont val="Times New Roman"/>
        <family val="1"/>
      </rPr>
      <t>(2)</t>
    </r>
  </si>
  <si>
    <r>
      <t xml:space="preserve">pacificus </t>
    </r>
    <r>
      <rPr>
        <sz val="12"/>
        <color rgb="FF000000"/>
        <rFont val="Times New Roman"/>
        <family val="1"/>
      </rPr>
      <t>(1)</t>
    </r>
  </si>
  <si>
    <r>
      <t xml:space="preserve">cereus </t>
    </r>
    <r>
      <rPr>
        <sz val="12"/>
        <color rgb="FF000000"/>
        <rFont val="Times New Roman"/>
        <family val="1"/>
      </rPr>
      <t>(4)</t>
    </r>
  </si>
  <si>
    <r>
      <t xml:space="preserve">thuringiensis </t>
    </r>
    <r>
      <rPr>
        <sz val="12"/>
        <color rgb="FF000000"/>
        <rFont val="Times New Roman"/>
        <family val="1"/>
      </rPr>
      <t>(2)</t>
    </r>
  </si>
  <si>
    <r>
      <t xml:space="preserve">toyonensis </t>
    </r>
    <r>
      <rPr>
        <sz val="12"/>
        <color rgb="FF000000"/>
        <rFont val="Times New Roman"/>
        <family val="1"/>
      </rPr>
      <t>(2)</t>
    </r>
  </si>
  <si>
    <r>
      <t xml:space="preserve">cytotoxicus </t>
    </r>
    <r>
      <rPr>
        <sz val="12"/>
        <color rgb="FF000000"/>
        <rFont val="Times New Roman"/>
        <family val="1"/>
      </rPr>
      <t>(2)</t>
    </r>
  </si>
  <si>
    <t>Species</t>
  </si>
  <si>
    <t>pseudomycoides</t>
  </si>
  <si>
    <t>albus</t>
  </si>
  <si>
    <t>mobilis</t>
  </si>
  <si>
    <t xml:space="preserve">tropicus </t>
  </si>
  <si>
    <t xml:space="preserve">pacificus </t>
  </si>
  <si>
    <t xml:space="preserve">cereus </t>
  </si>
  <si>
    <t>thuringiensis</t>
  </si>
  <si>
    <t>toyonensis</t>
  </si>
  <si>
    <t>cytotoxicus</t>
  </si>
  <si>
    <t>sd</t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</si>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</sst>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0" fontId="0" fillId="0" borderId="3" xfId="0" applyNumberFormat="1" applyBorder="1"/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0" fillId="0" borderId="1" xfId="0" applyNumberFormat="1" applyBorder="1"/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10" fontId="0" fillId="0" borderId="2" xfId="0" applyNumberFormat="1" applyBorder="1"/>
    <xf numFmtId="0" fontId="6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10" fontId="0" fillId="3" borderId="0" xfId="0" applyNumberFormat="1" applyFill="1"/>
    <xf numFmtId="0" fontId="0" fillId="0" borderId="0" xfId="0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B544-4AAE-4EF1-9BDD-09006423081A}">
  <dimension ref="A1:I31"/>
  <sheetViews>
    <sheetView tabSelected="1" topLeftCell="A5" workbookViewId="0">
      <selection activeCell="E35" sqref="E35"/>
    </sheetView>
  </sheetViews>
  <sheetFormatPr defaultRowHeight="14.5" x14ac:dyDescent="0.35"/>
  <cols>
    <col min="1" max="1" width="13.90625" customWidth="1"/>
    <col min="2" max="2" width="21.453125" customWidth="1"/>
  </cols>
  <sheetData>
    <row r="1" spans="1:9" x14ac:dyDescent="0.35">
      <c r="D1" t="s">
        <v>38</v>
      </c>
      <c r="F1" t="s">
        <v>41</v>
      </c>
      <c r="H1" t="s">
        <v>42</v>
      </c>
    </row>
    <row r="2" spans="1:9" ht="30" x14ac:dyDescent="0.35">
      <c r="A2" s="6" t="s">
        <v>0</v>
      </c>
      <c r="B2" s="6" t="s">
        <v>1</v>
      </c>
      <c r="C2" s="6" t="s">
        <v>2</v>
      </c>
      <c r="D2" s="6" t="s">
        <v>39</v>
      </c>
      <c r="E2" s="6" t="s">
        <v>40</v>
      </c>
      <c r="F2" s="6" t="s">
        <v>39</v>
      </c>
      <c r="G2" s="6" t="s">
        <v>40</v>
      </c>
      <c r="H2" s="6" t="s">
        <v>39</v>
      </c>
      <c r="I2" s="6" t="s">
        <v>40</v>
      </c>
    </row>
    <row r="3" spans="1:9" ht="15.5" x14ac:dyDescent="0.35">
      <c r="A3" s="26" t="s">
        <v>3</v>
      </c>
      <c r="B3" s="23" t="s">
        <v>43</v>
      </c>
      <c r="C3" s="7" t="s">
        <v>4</v>
      </c>
      <c r="D3" s="8">
        <v>1E-3</v>
      </c>
      <c r="E3" s="8">
        <v>2.8999999999999998E-3</v>
      </c>
      <c r="F3" s="8">
        <v>1.1000000000000001E-3</v>
      </c>
      <c r="G3" s="8">
        <v>4.1000000000000003E-3</v>
      </c>
      <c r="H3" s="8">
        <v>1.1999999999999999E-3</v>
      </c>
      <c r="I3" s="8">
        <v>6.4999999999999997E-3</v>
      </c>
    </row>
    <row r="4" spans="1:9" ht="15.5" x14ac:dyDescent="0.35">
      <c r="A4" s="27"/>
      <c r="B4" s="24"/>
      <c r="C4" s="1" t="s">
        <v>5</v>
      </c>
      <c r="D4" s="9">
        <v>1E-3</v>
      </c>
      <c r="E4" s="9">
        <v>2.8999999999999998E-3</v>
      </c>
      <c r="F4" s="9">
        <v>1.1000000000000001E-3</v>
      </c>
      <c r="G4" s="9">
        <v>4.1000000000000003E-3</v>
      </c>
      <c r="H4" s="9">
        <v>1.1999999999999999E-3</v>
      </c>
      <c r="I4" s="9">
        <v>6.4999999999999997E-3</v>
      </c>
    </row>
    <row r="5" spans="1:9" ht="15.5" x14ac:dyDescent="0.35">
      <c r="A5" s="28"/>
      <c r="B5" s="25"/>
      <c r="C5" s="10" t="s">
        <v>6</v>
      </c>
      <c r="D5" s="11">
        <v>1E-3</v>
      </c>
      <c r="E5" s="11">
        <v>2.8999999999999998E-3</v>
      </c>
      <c r="F5" s="11">
        <v>1.1000000000000001E-3</v>
      </c>
      <c r="G5" s="11">
        <v>4.1000000000000003E-3</v>
      </c>
      <c r="H5" s="11">
        <v>1.1999999999999999E-3</v>
      </c>
      <c r="I5" s="11">
        <v>6.4999999999999997E-3</v>
      </c>
    </row>
    <row r="6" spans="1:9" ht="15.5" x14ac:dyDescent="0.35">
      <c r="A6" s="1"/>
      <c r="B6" s="23" t="s">
        <v>44</v>
      </c>
      <c r="C6" s="7" t="s">
        <v>8</v>
      </c>
      <c r="D6" s="8">
        <v>5.3E-3</v>
      </c>
      <c r="E6" s="8">
        <v>6.8999999999999999E-3</v>
      </c>
      <c r="F6" s="8">
        <v>6.0000000000000001E-3</v>
      </c>
      <c r="G6" s="8">
        <v>1.23E-2</v>
      </c>
      <c r="H6" s="8">
        <v>5.3E-3</v>
      </c>
      <c r="I6" s="8">
        <v>1.9599999999999999E-2</v>
      </c>
    </row>
    <row r="7" spans="1:9" ht="15.5" x14ac:dyDescent="0.35">
      <c r="A7" s="1"/>
      <c r="B7" s="24"/>
      <c r="C7" s="1" t="s">
        <v>9</v>
      </c>
      <c r="D7" s="9">
        <v>5.3E-3</v>
      </c>
      <c r="E7" s="9">
        <v>6.8999999999999999E-3</v>
      </c>
      <c r="F7" s="9">
        <v>6.0000000000000001E-3</v>
      </c>
      <c r="G7" s="9">
        <v>1.23E-2</v>
      </c>
      <c r="H7" s="9">
        <v>5.3E-3</v>
      </c>
      <c r="I7" s="9">
        <v>1.9599999999999999E-2</v>
      </c>
    </row>
    <row r="8" spans="1:9" ht="15.5" x14ac:dyDescent="0.35">
      <c r="A8" s="1"/>
      <c r="B8" s="25"/>
      <c r="C8" s="10" t="s">
        <v>10</v>
      </c>
      <c r="D8" s="11">
        <v>5.3E-3</v>
      </c>
      <c r="E8" s="11">
        <v>6.8999999999999999E-3</v>
      </c>
      <c r="F8" s="11">
        <v>6.0000000000000001E-3</v>
      </c>
      <c r="G8" s="11">
        <v>1.23E-2</v>
      </c>
      <c r="H8" s="11">
        <v>5.3E-3</v>
      </c>
      <c r="I8" s="11">
        <v>1.9599999999999999E-2</v>
      </c>
    </row>
    <row r="9" spans="1:9" ht="15.5" x14ac:dyDescent="0.35">
      <c r="A9" s="1"/>
      <c r="B9" s="23" t="s">
        <v>45</v>
      </c>
      <c r="C9" s="12" t="s">
        <v>11</v>
      </c>
      <c r="D9" s="8">
        <v>4.3E-3</v>
      </c>
      <c r="E9" s="8">
        <v>8.6999999999999994E-3</v>
      </c>
      <c r="F9" s="8">
        <v>4.3E-3</v>
      </c>
      <c r="G9" s="8">
        <v>1.41E-2</v>
      </c>
      <c r="H9" s="8">
        <v>4.4000000000000003E-3</v>
      </c>
      <c r="I9" s="8">
        <v>2.0899999999999998E-2</v>
      </c>
    </row>
    <row r="10" spans="1:9" ht="15.5" x14ac:dyDescent="0.35">
      <c r="A10" s="1" t="s">
        <v>7</v>
      </c>
      <c r="B10" s="25"/>
      <c r="C10" s="13" t="s">
        <v>12</v>
      </c>
      <c r="D10" s="9">
        <v>4.3E-3</v>
      </c>
      <c r="E10" s="9">
        <v>8.6999999999999994E-3</v>
      </c>
      <c r="F10" s="11">
        <v>4.3E-3</v>
      </c>
      <c r="G10" s="11">
        <v>1.41E-2</v>
      </c>
      <c r="H10" s="11">
        <v>4.4000000000000003E-3</v>
      </c>
      <c r="I10" s="11">
        <v>2.0899999999999998E-2</v>
      </c>
    </row>
    <row r="11" spans="1:9" ht="15.5" x14ac:dyDescent="0.35">
      <c r="A11" s="2"/>
      <c r="B11" s="23" t="s">
        <v>46</v>
      </c>
      <c r="C11" s="12" t="s">
        <v>13</v>
      </c>
      <c r="D11" s="8">
        <v>6.1999999999999998E-3</v>
      </c>
      <c r="E11" s="8">
        <v>1.11E-2</v>
      </c>
      <c r="F11" s="8">
        <v>7.9000000000000008E-3</v>
      </c>
      <c r="G11" s="8">
        <v>1.7399999999999999E-2</v>
      </c>
      <c r="H11" s="8">
        <v>8.8999999999999999E-3</v>
      </c>
      <c r="I11" s="8">
        <v>2.7799999999999998E-2</v>
      </c>
    </row>
    <row r="12" spans="1:9" ht="15.5" x14ac:dyDescent="0.35">
      <c r="A12" s="2"/>
      <c r="B12" s="24"/>
      <c r="C12" s="14" t="s">
        <v>14</v>
      </c>
      <c r="D12" s="9">
        <v>6.1999999999999998E-3</v>
      </c>
      <c r="E12" s="9">
        <v>1.11E-2</v>
      </c>
      <c r="F12" s="9">
        <v>7.9000000000000008E-3</v>
      </c>
      <c r="G12" s="9">
        <v>1.7399999999999999E-2</v>
      </c>
      <c r="H12" s="9">
        <v>9.1000000000000004E-3</v>
      </c>
      <c r="I12" s="9">
        <v>2.7799999999999998E-2</v>
      </c>
    </row>
    <row r="13" spans="1:9" ht="15.5" x14ac:dyDescent="0.35">
      <c r="A13" s="2"/>
      <c r="B13" s="25"/>
      <c r="C13" s="13" t="s">
        <v>15</v>
      </c>
      <c r="D13" s="11">
        <v>6.1999999999999998E-3</v>
      </c>
      <c r="E13" s="11">
        <v>1.11E-2</v>
      </c>
      <c r="F13" s="11">
        <v>7.9000000000000008E-3</v>
      </c>
      <c r="G13" s="11">
        <v>1.7399999999999999E-2</v>
      </c>
      <c r="H13" s="11">
        <v>8.8999999999999999E-3</v>
      </c>
      <c r="I13" s="9">
        <v>2.7799999999999998E-2</v>
      </c>
    </row>
    <row r="14" spans="1:9" ht="15.5" x14ac:dyDescent="0.35">
      <c r="A14" s="2"/>
      <c r="B14" s="5" t="s">
        <v>16</v>
      </c>
      <c r="C14" s="14" t="s">
        <v>17</v>
      </c>
      <c r="D14" s="4"/>
      <c r="E14" s="4"/>
      <c r="F14" s="4"/>
      <c r="G14" s="4"/>
      <c r="H14" s="4"/>
      <c r="I14" s="4"/>
    </row>
    <row r="15" spans="1:9" ht="15.5" x14ac:dyDescent="0.35">
      <c r="A15" s="15"/>
      <c r="B15" s="16" t="s">
        <v>19</v>
      </c>
      <c r="C15" s="17" t="s">
        <v>20</v>
      </c>
      <c r="D15" s="4"/>
      <c r="E15" s="4"/>
      <c r="F15" s="4"/>
      <c r="G15" s="4"/>
      <c r="H15" s="4"/>
      <c r="I15" s="4"/>
    </row>
    <row r="16" spans="1:9" ht="16" customHeight="1" x14ac:dyDescent="0.35">
      <c r="A16" s="7" t="s">
        <v>18</v>
      </c>
      <c r="B16" s="23" t="s">
        <v>47</v>
      </c>
      <c r="C16" s="12" t="s">
        <v>21</v>
      </c>
      <c r="D16" s="9">
        <v>6.3E-3</v>
      </c>
      <c r="E16" s="9">
        <v>7.7000000000000002E-3</v>
      </c>
      <c r="F16" s="9">
        <v>6.8999999999999999E-3</v>
      </c>
      <c r="G16" s="9">
        <v>1.34E-2</v>
      </c>
      <c r="H16" s="9">
        <v>8.9999999999999993E-3</v>
      </c>
      <c r="I16" s="9">
        <v>2.1499999999999998E-2</v>
      </c>
    </row>
    <row r="17" spans="1:9" ht="15.5" x14ac:dyDescent="0.35">
      <c r="A17" s="18"/>
      <c r="B17" s="24"/>
      <c r="C17" s="14" t="s">
        <v>22</v>
      </c>
      <c r="D17" s="9">
        <v>6.3E-3</v>
      </c>
      <c r="E17" s="9">
        <v>7.7000000000000002E-3</v>
      </c>
      <c r="F17" s="9">
        <v>6.8999999999999999E-3</v>
      </c>
      <c r="G17" s="9">
        <v>1.34E-2</v>
      </c>
      <c r="H17" s="9">
        <v>8.9999999999999993E-3</v>
      </c>
      <c r="I17" s="9">
        <v>2.1499999999999998E-2</v>
      </c>
    </row>
    <row r="18" spans="1:9" ht="15.5" x14ac:dyDescent="0.35">
      <c r="A18" s="19"/>
      <c r="B18" s="25"/>
      <c r="C18" s="13" t="s">
        <v>23</v>
      </c>
      <c r="D18" s="9">
        <v>6.3E-3</v>
      </c>
      <c r="E18" s="9">
        <v>7.7000000000000002E-3</v>
      </c>
      <c r="F18" s="9">
        <v>6.8999999999999999E-3</v>
      </c>
      <c r="G18" s="9">
        <v>1.34E-2</v>
      </c>
      <c r="H18" s="9">
        <v>8.9999999999999993E-3</v>
      </c>
      <c r="I18" s="9">
        <v>2.1499999999999998E-2</v>
      </c>
    </row>
    <row r="19" spans="1:9" ht="15.5" x14ac:dyDescent="0.35">
      <c r="A19" s="3"/>
      <c r="B19" s="16" t="s">
        <v>48</v>
      </c>
      <c r="C19" s="17" t="s">
        <v>25</v>
      </c>
      <c r="D19" s="21">
        <v>5.7000000000000002E-3</v>
      </c>
      <c r="E19" s="21">
        <v>5.1999999999999998E-3</v>
      </c>
      <c r="F19" s="21">
        <v>6.4000000000000003E-3</v>
      </c>
      <c r="G19" s="21">
        <v>1.1299999999999999E-2</v>
      </c>
      <c r="H19" s="21">
        <v>9.2999999999999992E-3</v>
      </c>
      <c r="I19" s="21">
        <v>2.12E-2</v>
      </c>
    </row>
    <row r="20" spans="1:9" ht="15.5" x14ac:dyDescent="0.35">
      <c r="A20" s="3"/>
      <c r="B20" s="24" t="s">
        <v>49</v>
      </c>
      <c r="C20" s="1" t="s">
        <v>26</v>
      </c>
      <c r="D20" s="8">
        <v>1.2E-2</v>
      </c>
      <c r="E20" s="8">
        <v>1.32E-2</v>
      </c>
      <c r="F20" s="8">
        <v>1.61E-2</v>
      </c>
      <c r="G20" s="8">
        <v>2.1700000000000001E-2</v>
      </c>
      <c r="H20" s="9">
        <v>1.95E-2</v>
      </c>
      <c r="I20" s="9">
        <v>3.5999999999999997E-2</v>
      </c>
    </row>
    <row r="21" spans="1:9" ht="15.5" x14ac:dyDescent="0.35">
      <c r="A21" s="1"/>
      <c r="B21" s="24"/>
      <c r="C21" s="1" t="s">
        <v>27</v>
      </c>
      <c r="D21" s="9">
        <v>1.2E-2</v>
      </c>
      <c r="E21" s="9">
        <v>1.32E-2</v>
      </c>
      <c r="F21" s="9">
        <v>1.61E-2</v>
      </c>
      <c r="G21" s="9">
        <v>2.1700000000000001E-2</v>
      </c>
      <c r="H21" s="9">
        <v>1.95E-2</v>
      </c>
      <c r="I21" s="9">
        <v>3.5999999999999997E-2</v>
      </c>
    </row>
    <row r="22" spans="1:9" ht="15" customHeight="1" x14ac:dyDescent="0.35">
      <c r="A22" s="1" t="s">
        <v>24</v>
      </c>
      <c r="B22" s="24"/>
      <c r="C22" s="1" t="s">
        <v>28</v>
      </c>
      <c r="D22" s="9">
        <v>1.2E-2</v>
      </c>
      <c r="E22" s="9">
        <v>1.32E-2</v>
      </c>
      <c r="F22" s="9">
        <v>1.61E-2</v>
      </c>
      <c r="G22" s="9">
        <v>2.1700000000000001E-2</v>
      </c>
      <c r="H22" s="9">
        <v>1.95E-2</v>
      </c>
      <c r="I22" s="9">
        <v>3.5999999999999997E-2</v>
      </c>
    </row>
    <row r="23" spans="1:9" ht="15.5" x14ac:dyDescent="0.35">
      <c r="A23" s="20"/>
      <c r="B23" s="25"/>
      <c r="C23" s="10" t="s">
        <v>29</v>
      </c>
      <c r="D23" s="9">
        <v>1.2E-2</v>
      </c>
      <c r="E23" s="9">
        <v>1.32E-2</v>
      </c>
      <c r="F23" s="9">
        <v>1.61E-2</v>
      </c>
      <c r="G23" s="9">
        <v>2.1700000000000001E-2</v>
      </c>
      <c r="H23" s="9">
        <v>1.95E-2</v>
      </c>
      <c r="I23" s="9">
        <v>3.5999999999999997E-2</v>
      </c>
    </row>
    <row r="24" spans="1:9" ht="15.5" x14ac:dyDescent="0.35">
      <c r="A24" s="26" t="s">
        <v>30</v>
      </c>
      <c r="B24" s="23" t="s">
        <v>50</v>
      </c>
      <c r="C24" s="7" t="s">
        <v>31</v>
      </c>
      <c r="D24" s="8">
        <v>1.18E-2</v>
      </c>
      <c r="E24" s="8">
        <v>1.54E-2</v>
      </c>
      <c r="F24" s="8">
        <v>1.47E-2</v>
      </c>
      <c r="G24" s="8">
        <v>2.47E-2</v>
      </c>
      <c r="H24" s="8">
        <v>2.1100000000000001E-2</v>
      </c>
      <c r="I24" s="8">
        <v>3.9300000000000002E-2</v>
      </c>
    </row>
    <row r="25" spans="1:9" ht="15.5" x14ac:dyDescent="0.35">
      <c r="A25" s="27"/>
      <c r="B25" s="24"/>
      <c r="C25" s="1" t="s">
        <v>32</v>
      </c>
      <c r="D25" s="9">
        <v>1.18E-2</v>
      </c>
      <c r="E25" s="9">
        <v>1.54E-2</v>
      </c>
      <c r="F25" s="9">
        <v>1.47E-2</v>
      </c>
      <c r="G25" s="9">
        <v>2.47E-2</v>
      </c>
      <c r="H25" s="9">
        <v>2.1100000000000001E-2</v>
      </c>
      <c r="I25" s="9">
        <v>3.9300000000000002E-2</v>
      </c>
    </row>
    <row r="26" spans="1:9" ht="15.5" x14ac:dyDescent="0.35">
      <c r="A26" s="27"/>
      <c r="B26" s="24"/>
      <c r="C26" s="1" t="s">
        <v>33</v>
      </c>
      <c r="D26" s="9">
        <v>1.18E-2</v>
      </c>
      <c r="E26" s="9">
        <v>1.54E-2</v>
      </c>
      <c r="F26" s="9">
        <v>1.47E-2</v>
      </c>
      <c r="G26" s="9">
        <v>2.47E-2</v>
      </c>
      <c r="H26" s="9">
        <v>2.1100000000000001E-2</v>
      </c>
      <c r="I26" s="9">
        <v>3.9300000000000002E-2</v>
      </c>
    </row>
    <row r="27" spans="1:9" ht="15.5" x14ac:dyDescent="0.35">
      <c r="A27" s="28"/>
      <c r="B27" s="25"/>
      <c r="C27" s="10" t="s">
        <v>34</v>
      </c>
      <c r="D27" s="9">
        <v>1.18E-2</v>
      </c>
      <c r="E27" s="9">
        <v>1.54E-2</v>
      </c>
      <c r="F27" s="9">
        <v>1.47E-2</v>
      </c>
      <c r="G27" s="9">
        <v>2.47E-2</v>
      </c>
      <c r="H27" s="9">
        <v>2.1100000000000001E-2</v>
      </c>
      <c r="I27" s="9">
        <v>3.9300000000000002E-2</v>
      </c>
    </row>
    <row r="28" spans="1:9" ht="15.5" x14ac:dyDescent="0.35">
      <c r="A28" s="26" t="s">
        <v>35</v>
      </c>
      <c r="B28" s="23" t="s">
        <v>51</v>
      </c>
      <c r="C28" s="7" t="s">
        <v>36</v>
      </c>
      <c r="D28" s="8">
        <v>3.7000000000000002E-3</v>
      </c>
      <c r="E28" s="8">
        <v>7.7999999999999996E-3</v>
      </c>
      <c r="F28" s="8">
        <v>3.5999999999999999E-3</v>
      </c>
      <c r="G28" s="8">
        <v>1.29E-2</v>
      </c>
      <c r="H28" s="8">
        <v>3.3E-3</v>
      </c>
      <c r="I28" s="8">
        <v>1.9400000000000001E-2</v>
      </c>
    </row>
    <row r="29" spans="1:9" ht="15.5" x14ac:dyDescent="0.35">
      <c r="A29" s="28"/>
      <c r="B29" s="25"/>
      <c r="C29" s="10" t="s">
        <v>37</v>
      </c>
      <c r="D29" s="11">
        <v>3.7000000000000002E-3</v>
      </c>
      <c r="E29" s="11">
        <v>7.7999999999999996E-3</v>
      </c>
      <c r="F29" s="11">
        <v>3.5999999999999999E-3</v>
      </c>
      <c r="G29" s="11">
        <v>1.29E-2</v>
      </c>
      <c r="H29" s="11">
        <v>3.3E-3</v>
      </c>
      <c r="I29" s="11">
        <v>1.9400000000000001E-2</v>
      </c>
    </row>
    <row r="30" spans="1:9" x14ac:dyDescent="0.35">
      <c r="A30" s="29" t="s">
        <v>63</v>
      </c>
      <c r="B30" s="29"/>
      <c r="C30" s="29"/>
      <c r="D30" s="30">
        <f>AVERAGE(D3:D13,D16:D29)</f>
        <v>6.9320000000000007E-3</v>
      </c>
      <c r="E30" s="30">
        <f t="shared" ref="E30:I30" si="0">AVERAGE(E3:E13,E16:E29)</f>
        <v>9.5359999999999976E-3</v>
      </c>
      <c r="F30" s="30">
        <f t="shared" si="0"/>
        <v>8.4440000000000001E-3</v>
      </c>
      <c r="G30" s="30">
        <f t="shared" si="0"/>
        <v>1.5700000000000002E-2</v>
      </c>
      <c r="H30" s="30">
        <f t="shared" si="0"/>
        <v>1.0420000000000002E-2</v>
      </c>
      <c r="I30" s="30">
        <f t="shared" si="0"/>
        <v>2.5167999999999989E-2</v>
      </c>
    </row>
    <row r="31" spans="1:9" x14ac:dyDescent="0.35">
      <c r="A31" s="29" t="s">
        <v>62</v>
      </c>
      <c r="B31" s="29"/>
      <c r="C31" s="29"/>
      <c r="D31" s="30">
        <f>STDEV(D3:D13,D16:D29)</f>
        <v>3.8196553073106855E-3</v>
      </c>
      <c r="E31" s="30">
        <f t="shared" ref="E31:I31" si="1">STDEV(E3:E13,E16:E29)</f>
        <v>4.0201451051755247E-3</v>
      </c>
      <c r="F31" s="30">
        <f t="shared" si="1"/>
        <v>5.2607889142218941E-3</v>
      </c>
      <c r="G31" s="30">
        <f t="shared" si="1"/>
        <v>6.3608830623847557E-3</v>
      </c>
      <c r="H31" s="30">
        <f t="shared" si="1"/>
        <v>7.3802664811870641E-3</v>
      </c>
      <c r="I31" s="30">
        <f t="shared" si="1"/>
        <v>1.0381342238201533E-2</v>
      </c>
    </row>
  </sheetData>
  <mergeCells count="11">
    <mergeCell ref="B20:B23"/>
    <mergeCell ref="A24:A27"/>
    <mergeCell ref="B24:B27"/>
    <mergeCell ref="A28:A29"/>
    <mergeCell ref="B28:B29"/>
    <mergeCell ref="B16:B18"/>
    <mergeCell ref="A3:A5"/>
    <mergeCell ref="B3:B5"/>
    <mergeCell ref="B6:B8"/>
    <mergeCell ref="B9:B10"/>
    <mergeCell ref="B11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3AB-31A1-42A7-A6B3-3EDCBA685586}">
  <dimension ref="A1:H13"/>
  <sheetViews>
    <sheetView workbookViewId="0">
      <selection activeCell="I17" sqref="I17"/>
    </sheetView>
  </sheetViews>
  <sheetFormatPr defaultRowHeight="14.5" x14ac:dyDescent="0.35"/>
  <cols>
    <col min="1" max="1" width="14.90625" customWidth="1"/>
  </cols>
  <sheetData>
    <row r="1" spans="1:8" x14ac:dyDescent="0.35">
      <c r="C1" t="s">
        <v>38</v>
      </c>
      <c r="E1" t="s">
        <v>41</v>
      </c>
      <c r="G1" t="s">
        <v>42</v>
      </c>
    </row>
    <row r="2" spans="1:8" x14ac:dyDescent="0.35">
      <c r="A2" t="s">
        <v>52</v>
      </c>
      <c r="B2" t="s">
        <v>2</v>
      </c>
      <c r="C2" t="s">
        <v>39</v>
      </c>
      <c r="D2" t="s">
        <v>40</v>
      </c>
      <c r="E2" t="s">
        <v>39</v>
      </c>
      <c r="F2" t="s">
        <v>40</v>
      </c>
      <c r="G2" t="s">
        <v>39</v>
      </c>
      <c r="H2" t="s">
        <v>40</v>
      </c>
    </row>
    <row r="3" spans="1:8" x14ac:dyDescent="0.35">
      <c r="A3" s="22" t="s">
        <v>60</v>
      </c>
      <c r="B3" t="s">
        <v>31</v>
      </c>
      <c r="C3" s="9">
        <v>1.18E-2</v>
      </c>
      <c r="D3" s="9">
        <v>1.54E-2</v>
      </c>
      <c r="E3" s="9">
        <v>1.47E-2</v>
      </c>
      <c r="F3" s="9">
        <v>2.47E-2</v>
      </c>
      <c r="G3" s="9">
        <v>2.1100000000000001E-2</v>
      </c>
      <c r="H3" s="9">
        <v>3.9300000000000002E-2</v>
      </c>
    </row>
    <row r="4" spans="1:8" x14ac:dyDescent="0.35">
      <c r="A4" s="22" t="s">
        <v>59</v>
      </c>
      <c r="B4" t="s">
        <v>26</v>
      </c>
      <c r="C4" s="9">
        <v>1.2E-2</v>
      </c>
      <c r="D4" s="9">
        <v>1.32E-2</v>
      </c>
      <c r="E4" s="9">
        <v>1.61E-2</v>
      </c>
      <c r="F4" s="9">
        <v>2.1700000000000001E-2</v>
      </c>
      <c r="G4" s="9">
        <v>1.95E-2</v>
      </c>
      <c r="H4" s="9">
        <v>3.5999999999999997E-2</v>
      </c>
    </row>
    <row r="5" spans="1:8" x14ac:dyDescent="0.35">
      <c r="A5" s="22" t="s">
        <v>56</v>
      </c>
      <c r="B5" t="s">
        <v>13</v>
      </c>
      <c r="C5" s="9">
        <v>6.1999999999999998E-3</v>
      </c>
      <c r="D5" s="9">
        <v>1.11E-2</v>
      </c>
      <c r="E5" s="9">
        <v>7.9000000000000008E-3</v>
      </c>
      <c r="F5" s="9">
        <v>1.7399999999999999E-2</v>
      </c>
      <c r="G5" s="9">
        <v>8.8999999999999999E-3</v>
      </c>
      <c r="H5" s="9">
        <v>2.7799999999999998E-2</v>
      </c>
    </row>
    <row r="6" spans="1:8" x14ac:dyDescent="0.35">
      <c r="A6" s="22" t="s">
        <v>57</v>
      </c>
      <c r="B6" t="s">
        <v>21</v>
      </c>
      <c r="C6" s="9">
        <v>6.3E-3</v>
      </c>
      <c r="D6" s="9">
        <v>7.7000000000000002E-3</v>
      </c>
      <c r="E6" s="9">
        <v>6.8999999999999999E-3</v>
      </c>
      <c r="F6" s="9">
        <v>1.34E-2</v>
      </c>
      <c r="G6" s="9">
        <v>8.9999999999999993E-3</v>
      </c>
      <c r="H6" s="9">
        <v>2.1499999999999998E-2</v>
      </c>
    </row>
    <row r="7" spans="1:8" x14ac:dyDescent="0.35">
      <c r="A7" s="22" t="s">
        <v>58</v>
      </c>
      <c r="B7" t="s">
        <v>25</v>
      </c>
      <c r="C7" s="9">
        <v>5.7000000000000002E-3</v>
      </c>
      <c r="D7" s="9">
        <v>5.1999999999999998E-3</v>
      </c>
      <c r="E7" s="9">
        <v>6.4000000000000003E-3</v>
      </c>
      <c r="F7" s="9">
        <v>1.1299999999999999E-2</v>
      </c>
      <c r="G7" s="9">
        <v>9.2999999999999992E-3</v>
      </c>
      <c r="H7" s="9">
        <v>2.12E-2</v>
      </c>
    </row>
    <row r="8" spans="1:8" x14ac:dyDescent="0.35">
      <c r="A8" s="22" t="s">
        <v>55</v>
      </c>
      <c r="B8" t="s">
        <v>11</v>
      </c>
      <c r="C8" s="9">
        <v>4.3E-3</v>
      </c>
      <c r="D8" s="9">
        <v>8.6999999999999994E-3</v>
      </c>
      <c r="E8" s="9">
        <v>4.3E-3</v>
      </c>
      <c r="F8" s="9">
        <v>1.41E-2</v>
      </c>
      <c r="G8" s="9">
        <v>4.4000000000000003E-3</v>
      </c>
      <c r="H8" s="9">
        <v>2.0899999999999998E-2</v>
      </c>
    </row>
    <row r="9" spans="1:8" x14ac:dyDescent="0.35">
      <c r="A9" s="22" t="s">
        <v>54</v>
      </c>
      <c r="B9" t="s">
        <v>8</v>
      </c>
      <c r="C9" s="9">
        <v>5.3E-3</v>
      </c>
      <c r="D9" s="9">
        <v>6.8999999999999999E-3</v>
      </c>
      <c r="E9" s="9">
        <v>6.0000000000000001E-3</v>
      </c>
      <c r="F9" s="9">
        <v>1.23E-2</v>
      </c>
      <c r="G9" s="9">
        <v>5.3E-3</v>
      </c>
      <c r="H9" s="9">
        <v>1.9599999999999999E-2</v>
      </c>
    </row>
    <row r="10" spans="1:8" x14ac:dyDescent="0.35">
      <c r="A10" s="22" t="s">
        <v>61</v>
      </c>
      <c r="B10" t="s">
        <v>36</v>
      </c>
      <c r="C10" s="9">
        <v>3.7000000000000002E-3</v>
      </c>
      <c r="D10" s="9">
        <v>7.7999999999999996E-3</v>
      </c>
      <c r="E10" s="9">
        <v>3.5999999999999999E-3</v>
      </c>
      <c r="F10" s="9">
        <v>1.29E-2</v>
      </c>
      <c r="G10" s="9">
        <v>3.3E-3</v>
      </c>
      <c r="H10" s="9">
        <v>1.9400000000000001E-2</v>
      </c>
    </row>
    <row r="11" spans="1:8" x14ac:dyDescent="0.35">
      <c r="A11" s="22" t="s">
        <v>53</v>
      </c>
      <c r="B11" t="s">
        <v>4</v>
      </c>
      <c r="C11" s="9">
        <v>1E-3</v>
      </c>
      <c r="D11" s="9">
        <v>2.8999999999999998E-3</v>
      </c>
      <c r="E11" s="9">
        <v>1.1000000000000001E-3</v>
      </c>
      <c r="F11" s="9">
        <v>4.1000000000000003E-3</v>
      </c>
      <c r="G11" s="9">
        <v>1.1999999999999999E-3</v>
      </c>
      <c r="H11" s="9">
        <v>6.4999999999999997E-3</v>
      </c>
    </row>
    <row r="12" spans="1:8" x14ac:dyDescent="0.35">
      <c r="A12" s="31"/>
      <c r="B12" s="31"/>
      <c r="C12" s="32"/>
      <c r="D12" s="32"/>
      <c r="E12" s="32"/>
      <c r="F12" s="32"/>
      <c r="G12" s="32"/>
      <c r="H12" s="32"/>
    </row>
    <row r="13" spans="1:8" x14ac:dyDescent="0.35">
      <c r="A13" s="31"/>
      <c r="B13" s="31"/>
      <c r="C13" s="31"/>
      <c r="D13" s="31"/>
      <c r="E13" s="31"/>
      <c r="F13" s="31"/>
      <c r="G13" s="31"/>
      <c r="H13" s="31"/>
    </row>
  </sheetData>
  <sortState xmlns:xlrd2="http://schemas.microsoft.com/office/spreadsheetml/2017/richdata2" ref="A3:H11">
    <sortCondition descending="1" ref="H3:H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Su</dc:creator>
  <cp:lastModifiedBy>Jun Su</cp:lastModifiedBy>
  <dcterms:created xsi:type="dcterms:W3CDTF">2025-11-28T19:26:51Z</dcterms:created>
  <dcterms:modified xsi:type="dcterms:W3CDTF">2025-11-29T23:05:41Z</dcterms:modified>
</cp:coreProperties>
</file>